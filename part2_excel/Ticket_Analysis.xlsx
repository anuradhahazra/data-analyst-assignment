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4"/>
    <sheet state="visible" name="feedbacks" sheetId="2" r:id="rId5"/>
    <sheet state="visible" name="summary" sheetId="3" r:id="rId6"/>
  </sheets>
  <definedNames/>
  <calcPr/>
</workbook>
</file>

<file path=xl/sharedStrings.xml><?xml version="1.0" encoding="utf-8"?>
<sst xmlns="http://schemas.openxmlformats.org/spreadsheetml/2006/main" count="27" uniqueCount="22">
  <si>
    <t>ticket_id</t>
  </si>
  <si>
    <t>created_at</t>
  </si>
  <si>
    <t>closed_at</t>
  </si>
  <si>
    <t>outlet_id</t>
  </si>
  <si>
    <t>cms_id</t>
  </si>
  <si>
    <t>created_at_dt</t>
  </si>
  <si>
    <t>closed_at_dt</t>
  </si>
  <si>
    <t>isu-sjd-457</t>
  </si>
  <si>
    <t>19-08-2021 16:45</t>
  </si>
  <si>
    <t>22-08-2021 12:33</t>
  </si>
  <si>
    <t>wrqy-juv-978</t>
  </si>
  <si>
    <t>vew-iuvd-12</t>
  </si>
  <si>
    <t>qer-fal-092</t>
  </si>
  <si>
    <t>21-08-2021 11:09</t>
  </si>
  <si>
    <t>21-08-2021 17:13</t>
  </si>
  <si>
    <t>8woh-k3u-23b</t>
  </si>
  <si>
    <t>feedback_at</t>
  </si>
  <si>
    <t>feedback_rating</t>
  </si>
  <si>
    <t>ticket_created_at</t>
  </si>
  <si>
    <t>21-08-2021 13:26</t>
  </si>
  <si>
    <t>same_day_count</t>
  </si>
  <si>
    <t>same_hour_count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</si>
</sst>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3" t="s">
        <v>9</v>
      </c>
      <c r="D2" s="1" t="s">
        <v>10</v>
      </c>
      <c r="E2" s="1" t="s">
        <v>11</v>
      </c>
      <c r="F2" s="4">
        <f t="shared" ref="F2:G2" si="1">DATE(MID(B2,7,4), MID(B2,4,2), LEFT(B2,2)) + TIMEVALUE(MID(B2,12,5))
</f>
        <v>44427.69792</v>
      </c>
      <c r="G2" s="4">
        <f t="shared" si="1"/>
        <v>44430.52292</v>
      </c>
    </row>
    <row r="3">
      <c r="A3" s="1" t="s">
        <v>12</v>
      </c>
      <c r="B3" s="3" t="s">
        <v>13</v>
      </c>
      <c r="C3" s="3" t="s">
        <v>14</v>
      </c>
      <c r="D3" s="1" t="s">
        <v>15</v>
      </c>
      <c r="E3" s="5"/>
      <c r="F3" s="4">
        <f t="shared" ref="F3:G3" si="2">DATE(MID(B3,7,4), MID(B3,4,2), LEFT(B3,2)) + TIMEVALUE(MID(B3,12,5))
</f>
        <v>44429.46458</v>
      </c>
      <c r="G3" s="4">
        <f t="shared" si="2"/>
        <v>44429.71736</v>
      </c>
    </row>
    <row r="4">
      <c r="A4" s="5"/>
      <c r="B4" s="5"/>
      <c r="C4" s="5"/>
      <c r="D4" s="5"/>
      <c r="E4" s="5"/>
      <c r="F4" s="5"/>
      <c r="G4" s="5"/>
    </row>
    <row r="5">
      <c r="A5" s="5"/>
      <c r="B5" s="5"/>
      <c r="C5" s="5"/>
      <c r="D5" s="5"/>
      <c r="E5" s="5"/>
      <c r="F5" s="5"/>
      <c r="G5" s="5"/>
    </row>
    <row r="6">
      <c r="A6" s="5"/>
      <c r="B6" s="5"/>
      <c r="C6" s="5"/>
      <c r="D6" s="5"/>
      <c r="E6" s="5"/>
      <c r="F6" s="5"/>
      <c r="G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  <col customWidth="1" min="4" max="4" width="14.13"/>
  </cols>
  <sheetData>
    <row r="1">
      <c r="A1" s="1" t="s">
        <v>4</v>
      </c>
      <c r="B1" s="1" t="s">
        <v>16</v>
      </c>
      <c r="C1" s="1" t="s">
        <v>17</v>
      </c>
      <c r="D1" s="1" t="s">
        <v>18</v>
      </c>
      <c r="E1" s="5"/>
    </row>
    <row r="2">
      <c r="A2" s="1" t="s">
        <v>11</v>
      </c>
      <c r="B2" s="2" t="s">
        <v>19</v>
      </c>
      <c r="C2" s="3">
        <v>3.0</v>
      </c>
      <c r="D2" s="5" t="str">
        <f t="array" ref="D2">XLOOKUP(A2,ticket!E2,ticket!B2, "")</f>
        <v>19-08-2021 16:45</v>
      </c>
      <c r="E2" s="5"/>
    </row>
    <row r="3">
      <c r="A3" s="5"/>
      <c r="B3" s="5"/>
      <c r="C3" s="5"/>
      <c r="D3" s="5" t="str">
        <f t="array" ref="D3">XLOOKUP(A3,ticket!E3,ticket!B3, "")</f>
        <v/>
      </c>
      <c r="E3" s="5"/>
    </row>
    <row r="4">
      <c r="A4" s="5"/>
      <c r="B4" s="5"/>
      <c r="C4" s="5"/>
      <c r="D4" s="5" t="str">
        <f t="array" ref="D4">XLOOKUP(A4,ticket!E4,ticket!B4, "")</f>
        <v/>
      </c>
      <c r="E4" s="5"/>
    </row>
    <row r="5">
      <c r="D5" s="5" t="str">
        <f t="array" ref="D5">XLOOKUP(A5,ticket!E5,ticket!B5, "")</f>
        <v/>
      </c>
    </row>
    <row r="6">
      <c r="D6" s="5" t="str">
        <f t="array" ref="D6">XLOOKUP(A6,ticket!E6,ticket!B6, "")</f>
        <v/>
      </c>
    </row>
    <row r="7">
      <c r="D7" s="5" t="str">
        <f t="array" ref="D7">XLOOKUP(A7,ticket!E7,ticket!B7, "")</f>
        <v/>
      </c>
    </row>
    <row r="8">
      <c r="D8" s="5" t="str">
        <f t="array" ref="D8">XLOOKUP(A8,ticket!E8,ticket!B8, 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</v>
      </c>
      <c r="B1" s="6" t="s">
        <v>20</v>
      </c>
      <c r="C1" s="6" t="s">
        <v>21</v>
      </c>
    </row>
    <row r="2">
      <c r="A2" s="6" t="s">
        <v>10</v>
      </c>
      <c r="B2" s="7">
        <f>SUMPRODUCT((ticket!D2:D100=A2)*(INT(ticket!F2:F100)=INT(ticket!G2:G100)))
</f>
        <v>0</v>
      </c>
      <c r="C2" s="7">
        <f>SUMPRODUCT((ticket!D2:D100=A2)*(TEXT(ticket!F2:F100,"yyyy-mm-dd hh")=TEXT(ticket!G2:G100,"yyyy-mm-dd hh")))
</f>
        <v>0</v>
      </c>
    </row>
    <row r="3">
      <c r="A3" s="6" t="s">
        <v>15</v>
      </c>
      <c r="B3" s="7">
        <f>SUMPRODUCT((ticket!D3:D101=A3)*(INT(ticket!F3:F101)=INT(ticket!G3:G101)))
</f>
        <v>1</v>
      </c>
      <c r="C3" s="7">
        <f>SUMPRODUCT((ticket!D3:D101=A3)*(TEXT(ticket!F3:F101,"yyyy-mm-dd hh")=TEXT(ticket!G3:G101,"yyyy-mm-dd hh")))
</f>
        <v>0</v>
      </c>
    </row>
  </sheetData>
  <drawing r:id="rId1"/>
</worksheet>
</file>